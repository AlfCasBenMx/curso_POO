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people.ey.com/personal/luis_a_castaneda_mx_ey_com/Documents/Documents/GitHub/curso_poc/POCS/"/>
    </mc:Choice>
  </mc:AlternateContent>
  <xr:revisionPtr revIDLastSave="614" documentId="8_{FCC541F0-15F6-4143-A7BF-A73F72C726BA}" xr6:coauthVersionLast="47" xr6:coauthVersionMax="47" xr10:uidLastSave="{FAD00DFF-1340-4D94-A719-555613AD00E5}"/>
  <bookViews>
    <workbookView xWindow="-28920" yWindow="-120" windowWidth="29040" windowHeight="15720" activeTab="1" xr2:uid="{D7C5D7D3-E069-483A-938B-3986FCA0F7F7}"/>
  </bookViews>
  <sheets>
    <sheet name="Ideas" sheetId="1" r:id="rId1"/>
    <sheet name="Hoja1" sheetId="3" r:id="rId2"/>
    <sheet name="Participantes" sheetId="2" r:id="rId3"/>
  </sheets>
  <definedNames>
    <definedName name="_xlnm._FilterDatabase" localSheetId="0" hidden="1">Ideas!$B$4:$C$41</definedName>
    <definedName name="_xlnm._FilterDatabase" localSheetId="2" hidden="1">Participantes!$B$2:$C$27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1" l="1"/>
  <c r="G10" i="1"/>
  <c r="G24" i="1" l="1"/>
  <c r="G23" i="1"/>
  <c r="G9" i="1"/>
  <c r="G22" i="1"/>
  <c r="G27" i="1"/>
  <c r="G8" i="1" l="1"/>
  <c r="G7" i="1"/>
  <c r="G20" i="1"/>
  <c r="G21" i="1"/>
  <c r="G6" i="1"/>
  <c r="G5" i="1" l="1"/>
  <c r="G18" i="1"/>
  <c r="G19" i="1"/>
</calcChain>
</file>

<file path=xl/sharedStrings.xml><?xml version="1.0" encoding="utf-8"?>
<sst xmlns="http://schemas.openxmlformats.org/spreadsheetml/2006/main" count="276" uniqueCount="125">
  <si>
    <t xml:space="preserve">Aportó </t>
  </si>
  <si>
    <t>Rodrigo</t>
  </si>
  <si>
    <t xml:space="preserve">Deducción de Inversiones </t>
  </si>
  <si>
    <t>Descargador de INPC y TC</t>
  </si>
  <si>
    <t xml:space="preserve">Subset Sum Problem </t>
  </si>
  <si>
    <t>Emmanuel</t>
  </si>
  <si>
    <t xml:space="preserve">Deducción de inversiones </t>
  </si>
  <si>
    <t>Valuación Fiscal de OFDs</t>
  </si>
  <si>
    <t>Cruces de Información</t>
  </si>
  <si>
    <t xml:space="preserve">Tema </t>
  </si>
  <si>
    <t xml:space="preserve">Cesar </t>
  </si>
  <si>
    <t>DIOT vs Estados de Cuenta</t>
  </si>
  <si>
    <t>UUIDs</t>
  </si>
  <si>
    <t>Procesos DIOT</t>
  </si>
  <si>
    <t>Tema General</t>
  </si>
  <si>
    <t xml:space="preserve">Tema específico </t>
  </si>
  <si>
    <t xml:space="preserve">Karina </t>
  </si>
  <si>
    <t>Diana</t>
  </si>
  <si>
    <t>Clasificación Créditos Incobrables</t>
  </si>
  <si>
    <t>Mayores o menores a 30 mil UDIS</t>
  </si>
  <si>
    <t>Jorge</t>
  </si>
  <si>
    <t>Jesus</t>
  </si>
  <si>
    <t>Francisco</t>
  </si>
  <si>
    <t>Ajuste Anual por Inflación</t>
  </si>
  <si>
    <t>Veces que fue propuesta</t>
  </si>
  <si>
    <t>Natalia</t>
  </si>
  <si>
    <t>Conciliación de Ingresos</t>
  </si>
  <si>
    <t>Vaciado de Impuestos</t>
  </si>
  <si>
    <t xml:space="preserve">Aurora </t>
  </si>
  <si>
    <t>Determinación de efectos contables y fiscales de Upfront Fees</t>
  </si>
  <si>
    <t>Mirza</t>
  </si>
  <si>
    <t>Devoluciones de IVA</t>
  </si>
  <si>
    <t>Identificando:
1. Nuevos
2. Vencimiento
3. Cobrados
4. Pagados
Para que al final genere una tabla resumen</t>
  </si>
  <si>
    <t xml:space="preserve">Eli </t>
  </si>
  <si>
    <t>Conversión de PDF a Excel</t>
  </si>
  <si>
    <t>Alfonso</t>
  </si>
  <si>
    <t>1.Constancias fiscales
2. Estados de Cuens</t>
  </si>
  <si>
    <t>Matriz de Seguimiento a Oficios del SAT</t>
  </si>
  <si>
    <t>Balanzas con catálogo de cuentas del SAT</t>
  </si>
  <si>
    <t xml:space="preserve">Rogelio </t>
  </si>
  <si>
    <t xml:space="preserve">Generación de layout de retenciones </t>
  </si>
  <si>
    <t>CFDI ingreso con contabilidad</t>
  </si>
  <si>
    <t>Daniela</t>
  </si>
  <si>
    <t>Moises</t>
  </si>
  <si>
    <t>Monstserrat</t>
  </si>
  <si>
    <t>Matriz a partir del papel de trabajo del cliente</t>
  </si>
  <si>
    <t>Armando</t>
  </si>
  <si>
    <t>Analisis comparativo de variaciones</t>
  </si>
  <si>
    <t>Conciliaciones</t>
  </si>
  <si>
    <t>Extracción y procesamiento de datos de reportes operativos en excel</t>
  </si>
  <si>
    <t xml:space="preserve">Es repetitivo </t>
  </si>
  <si>
    <t xml:space="preserve">Los datos estan en Excel, CSV o sistema </t>
  </si>
  <si>
    <t xml:space="preserve">Puedes decribir los pasos </t>
  </si>
  <si>
    <t>Toma más de 30 minutos hacerlo manual</t>
  </si>
  <si>
    <t xml:space="preserve">Requiere juicio humano subjetivo </t>
  </si>
  <si>
    <t>Si</t>
  </si>
  <si>
    <t>No</t>
  </si>
  <si>
    <t xml:space="preserve"> Jesus Lazaro</t>
  </si>
  <si>
    <t>Jorge Ortigoza Ruiz</t>
  </si>
  <si>
    <t>Karina N Carmona</t>
  </si>
  <si>
    <t>Rodrigo Santillana</t>
  </si>
  <si>
    <t>Aurora O Alarcon</t>
  </si>
  <si>
    <t>Francisco J Cortes</t>
  </si>
  <si>
    <t>Armando Romo</t>
  </si>
  <si>
    <t>Gustavo Corona</t>
  </si>
  <si>
    <t>Rogelio Gonzalez Ruiz</t>
  </si>
  <si>
    <t>Daniela Moreno Robles</t>
  </si>
  <si>
    <t>Montserrat Gomez Larios</t>
  </si>
  <si>
    <t>Diana L Flores Ramirez</t>
  </si>
  <si>
    <t>Elizabeth Santillan Carcamo</t>
  </si>
  <si>
    <t>Daniel Ojeda</t>
  </si>
  <si>
    <t>Cesar A Roman Oropeza</t>
  </si>
  <si>
    <t>Eduardo Juarez</t>
  </si>
  <si>
    <t>Cesar Molnar</t>
  </si>
  <si>
    <t>Alejandro Alarcon Gonzalez</t>
  </si>
  <si>
    <t>Alfonso Castorena Sanchez</t>
  </si>
  <si>
    <t>Julio A Noria</t>
  </si>
  <si>
    <t xml:space="preserve"> Jose A Carbajal Carranza</t>
  </si>
  <si>
    <t>Moises D Chontal</t>
  </si>
  <si>
    <t>Natalia E Garcia</t>
  </si>
  <si>
    <t>Mirza Licona</t>
  </si>
  <si>
    <t>Participante</t>
  </si>
  <si>
    <t>Mando ideas</t>
  </si>
  <si>
    <t xml:space="preserve">Emmanuel </t>
  </si>
  <si>
    <t>NA</t>
  </si>
  <si>
    <t>Ya existen herramientas</t>
  </si>
  <si>
    <t>Actividades recurrentes</t>
  </si>
  <si>
    <t>problema de clasificación donde …</t>
  </si>
  <si>
    <t>agregar en columna I mas detalle que sea menos técnico (terminos de procesos)</t>
  </si>
  <si>
    <t xml:space="preserve">Organizar por prioridad/impacto </t>
  </si>
  <si>
    <t>Equipo</t>
  </si>
  <si>
    <t>3. CFDI Ingreso con contabilidad</t>
  </si>
  <si>
    <t>Alfonso, Rogelio, Alejandro Alarcon y Daniela Moreno</t>
  </si>
  <si>
    <t>Angel, Diana, Julio y Nicole</t>
  </si>
  <si>
    <t>Moises, Montserrat, Natalia</t>
  </si>
  <si>
    <t>Cruces de Información  Devoluciones de IVA/DIOT vs Estados de Cuenta/UUIDs</t>
  </si>
  <si>
    <t>Procesos recurrentes/Temas a trabajar</t>
  </si>
  <si>
    <t>Aurora, Eli, Armando y Mirza</t>
  </si>
  <si>
    <t>Rod, Cesar Roman, Cesar y Jesus</t>
  </si>
  <si>
    <t>Jorge, Francisco, Gustavo, y Emmanuel</t>
  </si>
  <si>
    <t>ajuste anual por inflacio</t>
  </si>
  <si>
    <t>idea</t>
  </si>
  <si>
    <t>la idea es calcualr le ajste por inflacion de manera mensual, con base en la balanza de comprobacion contable que genera la entidad una entidad del sector financiero</t>
  </si>
  <si>
    <t>criterio de éxito</t>
  </si>
  <si>
    <t>que las salidasd el proceso automatico coincidan con las del proceso manual</t>
  </si>
  <si>
    <t>flujo</t>
  </si>
  <si>
    <t>la entida genera su balanza de comprobacion en excel  esta tendrìa ue ser ingresada a la herramienta considerando cirterior predefinidos, si la cuenta  clasifica como una deuda o como un credito, asi como otras consideraciones, ejem identifiaciond eneuvas cunetas contables o cunetas se se den de baja contablemente   la salida va a ser un excel que podamos verificar con el ejercicio manual</t>
  </si>
  <si>
    <t xml:space="preserve">es una clasificacion con base a que sean mayores o menos a 30'000 UDIS ademas de un control de sttaus de cada credito, aquí  nos alimentamos de bases dque tien cada insttucion por credito y estas bases estan nutridas con infroamion, contrato, nombre, numero de credito, etc, hay que ver si el saldo del credito exede el umbral de 30 K udis, </t>
  </si>
  <si>
    <t>se recibiria una bse mes a mes de estos creditos en excel en un archivo unico y lo que se hace es qeu se van actualizando estas bases conforme a su area de recuperaciones y su area juridica ( que se encarga de ver en que etapa esta cada credito) 1ª que haga la clasificacion luego que nos lleve le control de status (recuperaciones juridica) esto e simportante pra requisitos de deduccion del LISR, la salida es un excel con las actuliazcions qeu realizan y neceitamos un resumen de estas actualizaciones para tener visibulidad de que esta pasnado con cad uno de los creditos, hay que agrupar por numero de cliente.</t>
  </si>
  <si>
    <t>revision de las contancias de interes  Basiacmente se ve en tres fases 1) transformar las ineasd el interes pagado del edo de cuenta (extraer el interes del edo de cuenta) 2) calculo de interes real, nos dan de insumo un edo d eucnetadonde vienene los interes que le pagaron a luis  y se compara con la finlacion de ese mismo rango de fechas  3) el cleinte nos da un CFDI de retenciones que se lee y se pasa a ciertas casillas para confrontarlo contra el calculo, un pdf se tiene que pasar a un excel para conforntalo vs el resultdos uqe determinaron en el paso 2, saalida un archivo de excel del comparativo</t>
  </si>
  <si>
    <t>se comparacia vs el calculo manual</t>
  </si>
  <si>
    <t xml:space="preserve">resicbes 12 estados de cuenta para un cliente digitales pdf para un cliente de los 12 meses del años
veo que interes recibio por mes resto infacion y calculo interes real por cada monto (meidnate una api para cargar los datos del inpc del inegi)
paso final comparativo salida en excel 
</t>
  </si>
  <si>
    <t>EQUIPO</t>
  </si>
  <si>
    <t>✅ Creado</t>
  </si>
  <si>
    <t>equipo2.txt</t>
  </si>
  <si>
    <t>Upfront Fees</t>
  </si>
  <si>
    <t>equipo3.txt</t>
  </si>
  <si>
    <t>equipo4.txt</t>
  </si>
  <si>
    <t>⏳ Pendiente</t>
  </si>
  <si>
    <t>equipo5.txt</t>
  </si>
  <si>
    <t>Generación de layout de retenciones</t>
  </si>
  <si>
    <t>equipo6.txt</t>
  </si>
  <si>
    <t>Deducción de Inversiones</t>
  </si>
  <si>
    <t>⏳ Pendiente (te falta pasarme info)</t>
  </si>
  <si>
    <t>tema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</si>
</sst>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rial"/>
      <family val="2"/>
    </font>
    <font>
      <sz val="10"/>
      <color rgb="FFCCCCCC"/>
      <name val="Segoe UI"/>
      <family val="2"/>
    </font>
  </fonts>
  <fills count="7">
    <fill>
      <patternFill patternType="none"/>
    </fill>
    <fill>
      <patternFill patternType="gray125"/>
    </fill>
    <fill>
      <patternFill patternType="solid">
        <fgColor rgb="FFFFE10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181818"/>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diagonal/>
    </border>
  </borders>
  <cellStyleXfs count="2">
    <xf numFmtId="0" fontId="0" fillId="0" borderId="0"/>
    <xf numFmtId="0" fontId="1" fillId="0" borderId="0"/>
  </cellStyleXfs>
  <cellXfs count="48">
    <xf numFmtId="0" fontId="0" fillId="0" borderId="0" xfId="0"/>
    <xf numFmtId="0" fontId="0" fillId="0" borderId="2"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1" xfId="0" applyBorder="1"/>
    <xf numFmtId="0" fontId="0" fillId="0" borderId="9" xfId="0" applyBorder="1"/>
    <xf numFmtId="0" fontId="0" fillId="0" borderId="10" xfId="0" applyBorder="1"/>
    <xf numFmtId="0" fontId="0" fillId="0" borderId="8" xfId="0" applyBorder="1" applyAlignment="1">
      <alignment horizontal="center"/>
    </xf>
    <xf numFmtId="0" fontId="0" fillId="0" borderId="11" xfId="0" applyBorder="1" applyAlignment="1">
      <alignment horizontal="center"/>
    </xf>
    <xf numFmtId="0" fontId="0" fillId="0" borderId="3" xfId="0" applyBorder="1" applyAlignment="1">
      <alignment horizontal="center"/>
    </xf>
    <xf numFmtId="0" fontId="0" fillId="0" borderId="9" xfId="0" applyBorder="1" applyAlignment="1">
      <alignment wrapText="1"/>
    </xf>
    <xf numFmtId="0" fontId="0" fillId="0" borderId="8" xfId="0" applyBorder="1" applyAlignment="1">
      <alignment horizontal="center" vertical="center"/>
    </xf>
    <xf numFmtId="0" fontId="0" fillId="0" borderId="1" xfId="0" applyBorder="1" applyAlignment="1">
      <alignment vertical="center"/>
    </xf>
    <xf numFmtId="0" fontId="0" fillId="2" borderId="8" xfId="1" applyFont="1" applyFill="1" applyBorder="1"/>
    <xf numFmtId="0" fontId="0" fillId="2" borderId="12" xfId="1" applyFont="1" applyFill="1" applyBorder="1"/>
    <xf numFmtId="0" fontId="0" fillId="2" borderId="9" xfId="1" applyFont="1" applyFill="1" applyBorder="1"/>
    <xf numFmtId="0" fontId="0" fillId="0" borderId="10" xfId="0" applyBorder="1" applyAlignment="1">
      <alignment wrapText="1"/>
    </xf>
    <xf numFmtId="0" fontId="0" fillId="0" borderId="13" xfId="0" applyBorder="1"/>
    <xf numFmtId="0" fontId="0" fillId="0" borderId="14" xfId="0" applyBorder="1"/>
    <xf numFmtId="0" fontId="0" fillId="0" borderId="3" xfId="0" applyBorder="1" applyAlignment="1">
      <alignment horizontal="center" vertical="center"/>
    </xf>
    <xf numFmtId="0" fontId="0" fillId="0" borderId="6" xfId="0" applyBorder="1" applyAlignment="1">
      <alignment horizontal="center" vertical="center"/>
    </xf>
    <xf numFmtId="0" fontId="0" fillId="0" borderId="15" xfId="0" applyBorder="1"/>
    <xf numFmtId="0" fontId="0" fillId="0" borderId="3" xfId="0" applyBorder="1"/>
    <xf numFmtId="0" fontId="0" fillId="2" borderId="1" xfId="1" applyFont="1" applyFill="1" applyBorder="1" applyAlignment="1">
      <alignment horizontal="center" vertical="center"/>
    </xf>
    <xf numFmtId="0" fontId="0" fillId="2" borderId="13" xfId="1" applyFont="1" applyFill="1" applyBorder="1" applyAlignment="1">
      <alignment horizontal="center" vertical="center"/>
    </xf>
    <xf numFmtId="0" fontId="0" fillId="2" borderId="13" xfId="1" applyFont="1" applyFill="1" applyBorder="1" applyAlignment="1">
      <alignment horizontal="center" vertical="center" wrapText="1"/>
    </xf>
    <xf numFmtId="0" fontId="0" fillId="2" borderId="10" xfId="1" applyFont="1" applyFill="1" applyBorder="1" applyAlignment="1">
      <alignment horizontal="center" vertical="center" wrapText="1"/>
    </xf>
    <xf numFmtId="0" fontId="0" fillId="0" borderId="6" xfId="0" applyBorder="1" applyAlignment="1">
      <alignment horizontal="center"/>
    </xf>
    <xf numFmtId="0" fontId="0" fillId="0" borderId="7" xfId="0" applyBorder="1" applyAlignment="1">
      <alignment horizontal="center"/>
    </xf>
    <xf numFmtId="0" fontId="0" fillId="3" borderId="8" xfId="0" applyFill="1" applyBorder="1"/>
    <xf numFmtId="0" fontId="0" fillId="3" borderId="9" xfId="0" applyFill="1" applyBorder="1"/>
    <xf numFmtId="0" fontId="0" fillId="4" borderId="15" xfId="0" applyFill="1" applyBorder="1"/>
    <xf numFmtId="0" fontId="0" fillId="5" borderId="0" xfId="0" applyFill="1"/>
    <xf numFmtId="0" fontId="0" fillId="0" borderId="0" xfId="0" applyAlignment="1">
      <alignment wrapText="1"/>
    </xf>
    <xf numFmtId="0" fontId="0" fillId="5" borderId="15" xfId="0" applyFill="1" applyBorder="1"/>
    <xf numFmtId="0" fontId="0" fillId="5" borderId="2" xfId="0" applyFill="1" applyBorder="1"/>
    <xf numFmtId="0" fontId="0" fillId="0" borderId="0" xfId="0" applyAlignment="1">
      <alignment horizontal="center"/>
    </xf>
    <xf numFmtId="0" fontId="0" fillId="2" borderId="5" xfId="1" applyFont="1" applyFill="1" applyBorder="1" applyAlignment="1">
      <alignment horizontal="center" vertical="center"/>
    </xf>
    <xf numFmtId="0" fontId="0" fillId="0" borderId="15" xfId="0" applyBorder="1" applyAlignment="1">
      <alignment horizont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5" xfId="0" applyFill="1" applyBorder="1" applyAlignment="1">
      <alignment horizontal="center"/>
    </xf>
    <xf numFmtId="0" fontId="0" fillId="0" borderId="0" xfId="0" applyFill="1" applyBorder="1"/>
    <xf numFmtId="0" fontId="0" fillId="6" borderId="0" xfId="0" applyFill="1"/>
    <xf numFmtId="0" fontId="2" fillId="6" borderId="0" xfId="0" applyFont="1" applyFill="1" applyAlignment="1">
      <alignment vertical="center" wrapText="1"/>
    </xf>
  </cellXfs>
  <cellStyles count="2">
    <cellStyle name="Normal" xfId="0" builtinId="0"/>
    <cellStyle name="Normal 10 2 11 2" xfId="1" xr:uid="{E8BFD217-B0EB-41D2-B5B7-0F3AA65694A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96691-5AB2-4A91-B8A6-9F3008F19CA3}">
  <dimension ref="B3:P41"/>
  <sheetViews>
    <sheetView topLeftCell="E3" zoomScaleNormal="100" workbookViewId="0">
      <selection activeCell="H14" sqref="H14"/>
    </sheetView>
  </sheetViews>
  <sheetFormatPr baseColWidth="10" defaultRowHeight="15" x14ac:dyDescent="0.25"/>
  <cols>
    <col min="3" max="3" width="56.42578125" bestFit="1" customWidth="1"/>
    <col min="4" max="4" width="89.28515625" bestFit="1" customWidth="1"/>
    <col min="7" max="7" width="22.7109375" bestFit="1" customWidth="1"/>
    <col min="8" max="8" width="64.85546875" bestFit="1" customWidth="1"/>
    <col min="9" max="9" width="20.7109375" hidden="1" customWidth="1"/>
    <col min="10" max="13" width="14.5703125" hidden="1" customWidth="1"/>
    <col min="14" max="14" width="16.42578125" hidden="1" customWidth="1"/>
    <col min="15" max="15" width="52.140625" bestFit="1" customWidth="1"/>
    <col min="16" max="16" width="19.42578125" customWidth="1"/>
  </cols>
  <sheetData>
    <row r="3" spans="2:16" ht="15.75" thickBot="1" x14ac:dyDescent="0.3">
      <c r="H3" t="s">
        <v>96</v>
      </c>
    </row>
    <row r="4" spans="2:16" ht="60.75" thickBot="1" x14ac:dyDescent="0.3">
      <c r="B4" s="15" t="s">
        <v>0</v>
      </c>
      <c r="C4" s="16" t="s">
        <v>14</v>
      </c>
      <c r="D4" s="17" t="s">
        <v>15</v>
      </c>
      <c r="G4" s="39" t="s">
        <v>24</v>
      </c>
      <c r="H4" s="39" t="s">
        <v>9</v>
      </c>
      <c r="I4" s="26" t="s">
        <v>50</v>
      </c>
      <c r="J4" s="27" t="s">
        <v>51</v>
      </c>
      <c r="K4" s="27" t="s">
        <v>52</v>
      </c>
      <c r="L4" s="27" t="s">
        <v>53</v>
      </c>
      <c r="M4" s="28" t="s">
        <v>54</v>
      </c>
      <c r="N4" s="19"/>
      <c r="O4" s="28" t="s">
        <v>90</v>
      </c>
    </row>
    <row r="5" spans="2:16" x14ac:dyDescent="0.25">
      <c r="B5" s="41" t="s">
        <v>1</v>
      </c>
      <c r="C5" s="3" t="s">
        <v>2</v>
      </c>
      <c r="D5" s="8"/>
      <c r="G5" s="10">
        <f>COUNTIF(C:C,H5)</f>
        <v>2</v>
      </c>
      <c r="H5" s="3" t="s">
        <v>7</v>
      </c>
      <c r="I5" s="19" t="s">
        <v>55</v>
      </c>
      <c r="J5" s="19" t="s">
        <v>55</v>
      </c>
      <c r="K5" s="19" t="s">
        <v>55</v>
      </c>
      <c r="L5" s="19" t="s">
        <v>55</v>
      </c>
      <c r="M5" s="19" t="s">
        <v>56</v>
      </c>
      <c r="N5" s="19" t="s">
        <v>85</v>
      </c>
      <c r="O5" s="3" t="s">
        <v>98</v>
      </c>
    </row>
    <row r="6" spans="2:16" x14ac:dyDescent="0.25">
      <c r="B6" s="42"/>
      <c r="C6" s="4" t="s">
        <v>7</v>
      </c>
      <c r="D6" s="1"/>
      <c r="G6" s="40">
        <f>COUNTIF(C:C,H6)</f>
        <v>1</v>
      </c>
      <c r="H6" s="4" t="s">
        <v>29</v>
      </c>
      <c r="I6" t="s">
        <v>55</v>
      </c>
      <c r="J6" t="s">
        <v>55</v>
      </c>
      <c r="K6" t="s">
        <v>55</v>
      </c>
      <c r="L6" t="s">
        <v>55</v>
      </c>
      <c r="M6" t="s">
        <v>56</v>
      </c>
      <c r="O6" s="4" t="s">
        <v>97</v>
      </c>
    </row>
    <row r="7" spans="2:16" x14ac:dyDescent="0.25">
      <c r="B7" s="42"/>
      <c r="C7" s="4" t="s">
        <v>3</v>
      </c>
      <c r="D7" s="1"/>
      <c r="G7" s="40">
        <f>COUNTIF(C:C,H7)</f>
        <v>6</v>
      </c>
      <c r="H7" s="4" t="s">
        <v>23</v>
      </c>
      <c r="I7" t="s">
        <v>55</v>
      </c>
      <c r="J7" t="s">
        <v>55</v>
      </c>
      <c r="K7" t="s">
        <v>55</v>
      </c>
      <c r="L7" t="s">
        <v>55</v>
      </c>
      <c r="M7" t="s">
        <v>56</v>
      </c>
      <c r="O7" s="4" t="s">
        <v>99</v>
      </c>
    </row>
    <row r="8" spans="2:16" ht="15.75" thickBot="1" x14ac:dyDescent="0.3">
      <c r="B8" s="43"/>
      <c r="C8" s="5" t="s">
        <v>4</v>
      </c>
      <c r="D8" s="2"/>
      <c r="G8" s="40">
        <f>COUNTIF(C:C,H8)</f>
        <v>1</v>
      </c>
      <c r="H8" s="4" t="s">
        <v>18</v>
      </c>
      <c r="I8" t="s">
        <v>55</v>
      </c>
      <c r="J8" t="s">
        <v>55</v>
      </c>
      <c r="K8" t="s">
        <v>55</v>
      </c>
      <c r="L8" t="s">
        <v>55</v>
      </c>
      <c r="M8" t="s">
        <v>56</v>
      </c>
      <c r="O8" s="4" t="s">
        <v>93</v>
      </c>
    </row>
    <row r="9" spans="2:16" x14ac:dyDescent="0.25">
      <c r="B9" s="22"/>
      <c r="C9" s="4"/>
      <c r="D9" s="1"/>
      <c r="G9" s="40">
        <f>COUNTIF(C:C,H9)</f>
        <v>1</v>
      </c>
      <c r="H9" s="4" t="s">
        <v>40</v>
      </c>
      <c r="I9" t="s">
        <v>55</v>
      </c>
      <c r="J9" t="s">
        <v>55</v>
      </c>
      <c r="K9" t="s">
        <v>55</v>
      </c>
      <c r="L9" t="s">
        <v>55</v>
      </c>
      <c r="M9" t="s">
        <v>56</v>
      </c>
      <c r="O9" s="4" t="s">
        <v>92</v>
      </c>
    </row>
    <row r="10" spans="2:16" ht="15.75" thickBot="1" x14ac:dyDescent="0.3">
      <c r="B10" s="22"/>
      <c r="C10" s="4"/>
      <c r="D10" s="1"/>
      <c r="G10" s="11">
        <f>COUNTIF(C:C,H10)</f>
        <v>7</v>
      </c>
      <c r="H10" s="5" t="s">
        <v>2</v>
      </c>
      <c r="I10" s="20" t="s">
        <v>55</v>
      </c>
      <c r="J10" s="20" t="s">
        <v>55</v>
      </c>
      <c r="K10" s="20" t="s">
        <v>55</v>
      </c>
      <c r="L10" s="20" t="s">
        <v>55</v>
      </c>
      <c r="M10" s="20" t="s">
        <v>56</v>
      </c>
      <c r="N10" s="20" t="s">
        <v>85</v>
      </c>
      <c r="O10" s="5" t="s">
        <v>94</v>
      </c>
    </row>
    <row r="11" spans="2:16" ht="15.75" thickBot="1" x14ac:dyDescent="0.3">
      <c r="B11" s="22"/>
      <c r="C11" s="4"/>
      <c r="D11" s="1"/>
      <c r="G11" s="44">
        <f>COUNTIF(C:C,H11)</f>
        <v>0</v>
      </c>
      <c r="H11" s="35" t="s">
        <v>100</v>
      </c>
    </row>
    <row r="12" spans="2:16" x14ac:dyDescent="0.25">
      <c r="B12" s="41" t="s">
        <v>5</v>
      </c>
      <c r="C12" s="3" t="s">
        <v>6</v>
      </c>
      <c r="D12" s="8"/>
      <c r="G12" t="s">
        <v>101</v>
      </c>
      <c r="H12" s="45" t="s">
        <v>102</v>
      </c>
      <c r="O12" t="s">
        <v>107</v>
      </c>
      <c r="P12" t="s">
        <v>109</v>
      </c>
    </row>
    <row r="13" spans="2:16" x14ac:dyDescent="0.25">
      <c r="B13" s="42"/>
      <c r="C13" s="4" t="s">
        <v>8</v>
      </c>
      <c r="D13" s="1" t="s">
        <v>31</v>
      </c>
      <c r="G13" s="38" t="s">
        <v>103</v>
      </c>
      <c r="H13" s="45" t="s">
        <v>104</v>
      </c>
      <c r="O13" s="45" t="s">
        <v>104</v>
      </c>
      <c r="P13" t="s">
        <v>110</v>
      </c>
    </row>
    <row r="14" spans="2:16" ht="285.75" thickBot="1" x14ac:dyDescent="0.3">
      <c r="B14" s="43"/>
      <c r="C14" s="5" t="s">
        <v>23</v>
      </c>
      <c r="D14" s="2"/>
      <c r="G14" t="s">
        <v>105</v>
      </c>
      <c r="H14" s="45" t="s">
        <v>106</v>
      </c>
      <c r="O14" t="s">
        <v>108</v>
      </c>
      <c r="P14" s="35" t="s">
        <v>111</v>
      </c>
    </row>
    <row r="15" spans="2:16" x14ac:dyDescent="0.25">
      <c r="B15" s="41" t="s">
        <v>10</v>
      </c>
      <c r="C15" s="3" t="s">
        <v>8</v>
      </c>
      <c r="D15" s="8" t="s">
        <v>11</v>
      </c>
      <c r="N15" t="s">
        <v>87</v>
      </c>
    </row>
    <row r="16" spans="2:16" ht="15.75" thickBot="1" x14ac:dyDescent="0.3">
      <c r="B16" s="42"/>
      <c r="C16" s="4" t="s">
        <v>8</v>
      </c>
      <c r="D16" s="1" t="s">
        <v>12</v>
      </c>
      <c r="H16" t="s">
        <v>86</v>
      </c>
      <c r="N16" t="s">
        <v>89</v>
      </c>
    </row>
    <row r="17" spans="2:15" ht="60.75" thickBot="1" x14ac:dyDescent="0.3">
      <c r="B17" s="43"/>
      <c r="C17" s="5" t="s">
        <v>13</v>
      </c>
      <c r="D17" s="2"/>
      <c r="G17" s="25" t="s">
        <v>24</v>
      </c>
      <c r="H17" s="25" t="s">
        <v>9</v>
      </c>
      <c r="I17" s="26" t="s">
        <v>50</v>
      </c>
      <c r="J17" s="27" t="s">
        <v>51</v>
      </c>
      <c r="K17" s="27" t="s">
        <v>52</v>
      </c>
      <c r="L17" s="27" t="s">
        <v>53</v>
      </c>
      <c r="M17" s="28" t="s">
        <v>54</v>
      </c>
    </row>
    <row r="18" spans="2:15" ht="15.75" thickBot="1" x14ac:dyDescent="0.3">
      <c r="B18" s="9" t="s">
        <v>16</v>
      </c>
      <c r="C18" s="6" t="s">
        <v>2</v>
      </c>
      <c r="D18" s="7"/>
      <c r="G18" s="29">
        <f>COUNTIF(C:C,H18)</f>
        <v>1</v>
      </c>
      <c r="H18" s="4" t="s">
        <v>3</v>
      </c>
      <c r="I18" t="s">
        <v>55</v>
      </c>
      <c r="K18" t="s">
        <v>55</v>
      </c>
      <c r="L18" t="s">
        <v>55</v>
      </c>
      <c r="M18" s="1" t="s">
        <v>56</v>
      </c>
    </row>
    <row r="19" spans="2:15" x14ac:dyDescent="0.25">
      <c r="B19" s="41" t="s">
        <v>17</v>
      </c>
      <c r="C19" s="3" t="s">
        <v>2</v>
      </c>
      <c r="D19" s="8"/>
      <c r="G19" s="29">
        <f>COUNTIF(C:C,H19)</f>
        <v>1</v>
      </c>
      <c r="H19" s="4" t="s">
        <v>4</v>
      </c>
      <c r="L19" t="s">
        <v>55</v>
      </c>
      <c r="M19" s="1"/>
    </row>
    <row r="20" spans="2:15" ht="15.75" thickBot="1" x14ac:dyDescent="0.3">
      <c r="B20" s="43"/>
      <c r="C20" s="5" t="s">
        <v>18</v>
      </c>
      <c r="D20" s="2" t="s">
        <v>19</v>
      </c>
      <c r="G20" s="29">
        <f>COUNTIF(C:C,H20)</f>
        <v>1</v>
      </c>
      <c r="H20" s="4" t="s">
        <v>26</v>
      </c>
      <c r="I20" t="s">
        <v>55</v>
      </c>
      <c r="J20" t="s">
        <v>55</v>
      </c>
      <c r="K20" t="s">
        <v>55</v>
      </c>
      <c r="L20" t="s">
        <v>55</v>
      </c>
      <c r="M20" s="1" t="s">
        <v>56</v>
      </c>
    </row>
    <row r="21" spans="2:15" ht="15.75" thickBot="1" x14ac:dyDescent="0.3">
      <c r="B21" s="10" t="s">
        <v>20</v>
      </c>
      <c r="C21" s="3" t="s">
        <v>23</v>
      </c>
      <c r="D21" s="8"/>
      <c r="G21" s="29">
        <f>COUNTIF(C:C,H21)</f>
        <v>1</v>
      </c>
      <c r="H21" s="4" t="s">
        <v>27</v>
      </c>
      <c r="I21" t="s">
        <v>55</v>
      </c>
      <c r="K21" t="s">
        <v>55</v>
      </c>
      <c r="L21" t="s">
        <v>55</v>
      </c>
      <c r="M21" s="1" t="s">
        <v>56</v>
      </c>
    </row>
    <row r="22" spans="2:15" ht="15.75" thickBot="1" x14ac:dyDescent="0.3">
      <c r="B22" s="9" t="s">
        <v>21</v>
      </c>
      <c r="C22" s="6" t="s">
        <v>23</v>
      </c>
      <c r="D22" s="7"/>
      <c r="G22" s="29">
        <f>COUNTIF(C:C,H22)</f>
        <v>1</v>
      </c>
      <c r="H22" s="4" t="s">
        <v>34</v>
      </c>
      <c r="I22" t="s">
        <v>55</v>
      </c>
      <c r="K22" t="s">
        <v>55</v>
      </c>
      <c r="L22" t="s">
        <v>55</v>
      </c>
      <c r="M22" s="1" t="s">
        <v>56</v>
      </c>
    </row>
    <row r="23" spans="2:15" ht="15.75" thickBot="1" x14ac:dyDescent="0.3">
      <c r="B23" s="11" t="s">
        <v>22</v>
      </c>
      <c r="C23" s="5" t="s">
        <v>23</v>
      </c>
      <c r="D23" s="2"/>
      <c r="G23" s="29">
        <f>COUNTIF(C:C,H23)</f>
        <v>1</v>
      </c>
      <c r="H23" s="4" t="s">
        <v>47</v>
      </c>
      <c r="I23" t="s">
        <v>55</v>
      </c>
      <c r="J23" t="s">
        <v>55</v>
      </c>
      <c r="K23" t="s">
        <v>55</v>
      </c>
      <c r="L23" t="s">
        <v>55</v>
      </c>
      <c r="M23" s="1" t="s">
        <v>56</v>
      </c>
    </row>
    <row r="24" spans="2:15" ht="15.75" thickBot="1" x14ac:dyDescent="0.3">
      <c r="B24" s="9" t="s">
        <v>30</v>
      </c>
      <c r="C24" s="6" t="s">
        <v>8</v>
      </c>
      <c r="D24" s="7" t="s">
        <v>31</v>
      </c>
      <c r="G24" s="30">
        <f>COUNTIF(C:C,H24)</f>
        <v>1</v>
      </c>
      <c r="H24" s="5" t="s">
        <v>49</v>
      </c>
      <c r="I24" s="20"/>
      <c r="J24" s="20" t="s">
        <v>55</v>
      </c>
      <c r="K24" s="20" t="s">
        <v>55</v>
      </c>
      <c r="L24" s="20" t="s">
        <v>55</v>
      </c>
      <c r="M24" s="2" t="s">
        <v>56</v>
      </c>
    </row>
    <row r="25" spans="2:15" x14ac:dyDescent="0.25">
      <c r="B25" s="41" t="s">
        <v>25</v>
      </c>
      <c r="C25" s="3" t="s">
        <v>23</v>
      </c>
      <c r="D25" s="8"/>
      <c r="H25" s="35" t="s">
        <v>38</v>
      </c>
    </row>
    <row r="26" spans="2:15" x14ac:dyDescent="0.25">
      <c r="B26" s="42"/>
      <c r="C26" s="4" t="s">
        <v>2</v>
      </c>
      <c r="D26" s="1"/>
      <c r="G26" s="36"/>
      <c r="H26" s="35" t="s">
        <v>91</v>
      </c>
      <c r="I26" s="34"/>
      <c r="J26" s="34"/>
      <c r="K26" s="34"/>
      <c r="L26" s="34"/>
      <c r="M26" s="37"/>
    </row>
    <row r="27" spans="2:15" ht="15.75" thickBot="1" x14ac:dyDescent="0.3">
      <c r="B27" s="42"/>
      <c r="C27" s="4" t="s">
        <v>7</v>
      </c>
      <c r="D27" s="1"/>
      <c r="G27" s="30">
        <f>COUNTIF(C:C,H27)</f>
        <v>1</v>
      </c>
      <c r="H27" s="5" t="s">
        <v>37</v>
      </c>
      <c r="I27" s="20"/>
      <c r="J27" s="20"/>
      <c r="K27" s="20" t="s">
        <v>55</v>
      </c>
      <c r="L27" s="20" t="s">
        <v>55</v>
      </c>
      <c r="M27" s="2"/>
      <c r="N27" s="20" t="s">
        <v>88</v>
      </c>
      <c r="O27" s="2"/>
    </row>
    <row r="28" spans="2:15" x14ac:dyDescent="0.25">
      <c r="B28" s="42"/>
      <c r="C28" s="4" t="s">
        <v>26</v>
      </c>
      <c r="D28" s="1"/>
      <c r="G28" s="29">
        <v>7</v>
      </c>
      <c r="H28" s="4" t="s">
        <v>95</v>
      </c>
      <c r="I28" t="s">
        <v>55</v>
      </c>
      <c r="J28" t="s">
        <v>55</v>
      </c>
      <c r="K28" t="s">
        <v>55</v>
      </c>
      <c r="L28" t="s">
        <v>55</v>
      </c>
      <c r="M28" s="1" t="s">
        <v>56</v>
      </c>
      <c r="O28" s="1"/>
    </row>
    <row r="29" spans="2:15" ht="15.75" thickBot="1" x14ac:dyDescent="0.3">
      <c r="B29" s="43"/>
      <c r="C29" s="5" t="s">
        <v>27</v>
      </c>
      <c r="D29" s="2"/>
    </row>
    <row r="30" spans="2:15" ht="90.75" thickBot="1" x14ac:dyDescent="0.3">
      <c r="B30" s="13" t="s">
        <v>28</v>
      </c>
      <c r="C30" s="14" t="s">
        <v>29</v>
      </c>
      <c r="D30" s="12" t="s">
        <v>32</v>
      </c>
    </row>
    <row r="31" spans="2:15" ht="15.75" thickBot="1" x14ac:dyDescent="0.3">
      <c r="B31" s="41" t="s">
        <v>33</v>
      </c>
      <c r="C31" s="6" t="s">
        <v>23</v>
      </c>
      <c r="D31" s="7"/>
    </row>
    <row r="32" spans="2:15" ht="15.75" thickBot="1" x14ac:dyDescent="0.3">
      <c r="B32" s="43"/>
      <c r="C32" s="4" t="s">
        <v>47</v>
      </c>
      <c r="D32" t="s">
        <v>48</v>
      </c>
    </row>
    <row r="33" spans="2:4" ht="30" x14ac:dyDescent="0.25">
      <c r="B33" s="41" t="s">
        <v>35</v>
      </c>
      <c r="C33" s="3" t="s">
        <v>34</v>
      </c>
      <c r="D33" s="18" t="s">
        <v>36</v>
      </c>
    </row>
    <row r="34" spans="2:4" x14ac:dyDescent="0.25">
      <c r="B34" s="42"/>
      <c r="C34" s="4" t="s">
        <v>37</v>
      </c>
      <c r="D34" s="1"/>
    </row>
    <row r="35" spans="2:4" ht="15.75" thickBot="1" x14ac:dyDescent="0.3">
      <c r="B35" s="43"/>
      <c r="C35" s="5" t="s">
        <v>8</v>
      </c>
      <c r="D35" s="2" t="s">
        <v>38</v>
      </c>
    </row>
    <row r="36" spans="2:4" ht="15.75" thickBot="1" x14ac:dyDescent="0.3">
      <c r="B36" s="13" t="s">
        <v>42</v>
      </c>
      <c r="C36" s="6" t="s">
        <v>8</v>
      </c>
      <c r="D36" s="7" t="s">
        <v>41</v>
      </c>
    </row>
    <row r="37" spans="2:4" x14ac:dyDescent="0.25">
      <c r="B37" s="41" t="s">
        <v>39</v>
      </c>
      <c r="C37" s="19" t="s">
        <v>40</v>
      </c>
      <c r="D37" s="3"/>
    </row>
    <row r="38" spans="2:4" ht="15.75" thickBot="1" x14ac:dyDescent="0.3">
      <c r="B38" s="43"/>
      <c r="C38" s="20" t="s">
        <v>8</v>
      </c>
      <c r="D38" s="5" t="s">
        <v>41</v>
      </c>
    </row>
    <row r="39" spans="2:4" ht="15.75" thickBot="1" x14ac:dyDescent="0.3">
      <c r="B39" s="13" t="s">
        <v>43</v>
      </c>
      <c r="C39" s="6" t="s">
        <v>2</v>
      </c>
      <c r="D39" s="6" t="s">
        <v>45</v>
      </c>
    </row>
    <row r="40" spans="2:4" ht="15.75" thickBot="1" x14ac:dyDescent="0.3">
      <c r="B40" s="21" t="s">
        <v>44</v>
      </c>
      <c r="C40" s="6" t="s">
        <v>2</v>
      </c>
      <c r="D40" s="5" t="s">
        <v>45</v>
      </c>
    </row>
    <row r="41" spans="2:4" ht="15.75" thickBot="1" x14ac:dyDescent="0.3">
      <c r="B41" s="13" t="s">
        <v>46</v>
      </c>
      <c r="C41" t="s">
        <v>49</v>
      </c>
      <c r="D41" s="7"/>
    </row>
  </sheetData>
  <autoFilter ref="B4:C41" xr:uid="{4CB96691-5AB2-4A91-B8A6-9F3008F19CA3}"/>
  <mergeCells count="8">
    <mergeCell ref="B25:B29"/>
    <mergeCell ref="B31:B32"/>
    <mergeCell ref="B33:B35"/>
    <mergeCell ref="B37:B38"/>
    <mergeCell ref="B5:B8"/>
    <mergeCell ref="B12:B14"/>
    <mergeCell ref="B15:B17"/>
    <mergeCell ref="B19:B20"/>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7D056-5C1E-44EF-B51A-BC6015887486}">
  <dimension ref="B11:P18"/>
  <sheetViews>
    <sheetView tabSelected="1" topLeftCell="A8" workbookViewId="0">
      <selection activeCell="B11" sqref="B11:M15"/>
    </sheetView>
  </sheetViews>
  <sheetFormatPr baseColWidth="10" defaultRowHeight="15" x14ac:dyDescent="0.25"/>
  <sheetData>
    <row r="11" spans="2:16" ht="42.75" x14ac:dyDescent="0.25">
      <c r="B11" t="s">
        <v>124</v>
      </c>
      <c r="C11" s="47" t="s">
        <v>23</v>
      </c>
      <c r="J11" s="47" t="s">
        <v>18</v>
      </c>
      <c r="K11" s="47" t="s">
        <v>120</v>
      </c>
    </row>
    <row r="12" spans="2:16" x14ac:dyDescent="0.25">
      <c r="B12" t="s">
        <v>112</v>
      </c>
      <c r="C12">
        <v>1</v>
      </c>
      <c r="J12">
        <v>2</v>
      </c>
      <c r="K12">
        <v>3</v>
      </c>
    </row>
    <row r="13" spans="2:16" ht="42.75" x14ac:dyDescent="0.25">
      <c r="B13" t="s">
        <v>101</v>
      </c>
      <c r="C13" s="45" t="s">
        <v>102</v>
      </c>
      <c r="J13" t="s">
        <v>107</v>
      </c>
      <c r="K13" t="s">
        <v>109</v>
      </c>
      <c r="N13" s="47" t="s">
        <v>7</v>
      </c>
      <c r="O13" s="47" t="s">
        <v>113</v>
      </c>
      <c r="P13" s="46"/>
    </row>
    <row r="14" spans="2:16" ht="28.5" x14ac:dyDescent="0.25">
      <c r="B14" s="38" t="s">
        <v>103</v>
      </c>
      <c r="C14" s="45" t="s">
        <v>104</v>
      </c>
      <c r="J14" s="45" t="s">
        <v>104</v>
      </c>
      <c r="K14" t="s">
        <v>110</v>
      </c>
      <c r="N14" s="47" t="s">
        <v>114</v>
      </c>
      <c r="O14" s="47" t="s">
        <v>115</v>
      </c>
      <c r="P14" s="47" t="s">
        <v>113</v>
      </c>
    </row>
    <row r="15" spans="2:16" ht="409.5" x14ac:dyDescent="0.25">
      <c r="B15" t="s">
        <v>105</v>
      </c>
      <c r="C15" s="45" t="s">
        <v>106</v>
      </c>
      <c r="J15" t="s">
        <v>108</v>
      </c>
      <c r="K15" s="35" t="s">
        <v>111</v>
      </c>
      <c r="N15" s="47" t="s">
        <v>116</v>
      </c>
      <c r="O15" s="47" t="s">
        <v>23</v>
      </c>
      <c r="P15" s="47" t="s">
        <v>113</v>
      </c>
    </row>
    <row r="16" spans="2:16" ht="42.75" x14ac:dyDescent="0.25">
      <c r="N16" s="47" t="s">
        <v>117</v>
      </c>
      <c r="O16" s="47" t="s">
        <v>18</v>
      </c>
      <c r="P16" s="47" t="s">
        <v>118</v>
      </c>
    </row>
    <row r="17" spans="14:16" ht="42.75" x14ac:dyDescent="0.25">
      <c r="N17" s="47" t="s">
        <v>119</v>
      </c>
      <c r="O17" s="47" t="s">
        <v>120</v>
      </c>
      <c r="P17" s="47" t="s">
        <v>118</v>
      </c>
    </row>
    <row r="18" spans="14:16" ht="71.25" x14ac:dyDescent="0.25">
      <c r="N18" s="47" t="s">
        <v>121</v>
      </c>
      <c r="O18" s="47" t="s">
        <v>122</v>
      </c>
      <c r="P18" s="47" t="s">
        <v>123</v>
      </c>
    </row>
  </sheetData>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DDB3C-2F68-472E-9821-6832D769BD38}">
  <dimension ref="B1:C27"/>
  <sheetViews>
    <sheetView workbookViewId="0">
      <selection activeCell="C2" sqref="C2"/>
    </sheetView>
  </sheetViews>
  <sheetFormatPr baseColWidth="10" defaultRowHeight="15" x14ac:dyDescent="0.25"/>
  <cols>
    <col min="2" max="2" width="23.5703125" bestFit="1" customWidth="1"/>
    <col min="3" max="3" width="12.7109375" customWidth="1"/>
  </cols>
  <sheetData>
    <row r="1" spans="2:3" ht="15.75" thickBot="1" x14ac:dyDescent="0.3"/>
    <row r="2" spans="2:3" ht="15.75" thickBot="1" x14ac:dyDescent="0.3">
      <c r="B2" s="31" t="s">
        <v>81</v>
      </c>
      <c r="C2" s="32" t="s">
        <v>82</v>
      </c>
    </row>
    <row r="3" spans="2:3" x14ac:dyDescent="0.25">
      <c r="B3" s="23" t="s">
        <v>80</v>
      </c>
      <c r="C3" s="1" t="s">
        <v>55</v>
      </c>
    </row>
    <row r="4" spans="2:3" x14ac:dyDescent="0.25">
      <c r="B4" s="23" t="s">
        <v>57</v>
      </c>
      <c r="C4" s="1" t="s">
        <v>55</v>
      </c>
    </row>
    <row r="5" spans="2:3" x14ac:dyDescent="0.25">
      <c r="B5" s="23" t="s">
        <v>58</v>
      </c>
      <c r="C5" s="1" t="s">
        <v>55</v>
      </c>
    </row>
    <row r="6" spans="2:3" x14ac:dyDescent="0.25">
      <c r="B6" s="23" t="s">
        <v>59</v>
      </c>
      <c r="C6" s="1" t="s">
        <v>55</v>
      </c>
    </row>
    <row r="7" spans="2:3" x14ac:dyDescent="0.25">
      <c r="B7" s="23" t="s">
        <v>60</v>
      </c>
      <c r="C7" s="1" t="s">
        <v>55</v>
      </c>
    </row>
    <row r="8" spans="2:3" x14ac:dyDescent="0.25">
      <c r="B8" s="23" t="s">
        <v>61</v>
      </c>
      <c r="C8" s="1" t="s">
        <v>55</v>
      </c>
    </row>
    <row r="9" spans="2:3" x14ac:dyDescent="0.25">
      <c r="B9" s="23" t="s">
        <v>62</v>
      </c>
      <c r="C9" s="1" t="s">
        <v>55</v>
      </c>
    </row>
    <row r="10" spans="2:3" x14ac:dyDescent="0.25">
      <c r="B10" s="23" t="s">
        <v>63</v>
      </c>
      <c r="C10" s="1" t="s">
        <v>55</v>
      </c>
    </row>
    <row r="11" spans="2:3" x14ac:dyDescent="0.25">
      <c r="B11" s="23" t="s">
        <v>64</v>
      </c>
      <c r="C11" s="1" t="s">
        <v>84</v>
      </c>
    </row>
    <row r="12" spans="2:3" x14ac:dyDescent="0.25">
      <c r="B12" s="23" t="s">
        <v>65</v>
      </c>
      <c r="C12" s="1" t="s">
        <v>55</v>
      </c>
    </row>
    <row r="13" spans="2:3" x14ac:dyDescent="0.25">
      <c r="B13" s="23" t="s">
        <v>66</v>
      </c>
      <c r="C13" s="1" t="s">
        <v>55</v>
      </c>
    </row>
    <row r="14" spans="2:3" x14ac:dyDescent="0.25">
      <c r="B14" s="23" t="s">
        <v>67</v>
      </c>
      <c r="C14" s="1" t="s">
        <v>55</v>
      </c>
    </row>
    <row r="15" spans="2:3" x14ac:dyDescent="0.25">
      <c r="B15" s="23" t="s">
        <v>68</v>
      </c>
      <c r="C15" s="1" t="s">
        <v>55</v>
      </c>
    </row>
    <row r="16" spans="2:3" x14ac:dyDescent="0.25">
      <c r="B16" s="23" t="s">
        <v>69</v>
      </c>
      <c r="C16" s="1" t="s">
        <v>55</v>
      </c>
    </row>
    <row r="17" spans="2:3" x14ac:dyDescent="0.25">
      <c r="B17" s="23" t="s">
        <v>70</v>
      </c>
      <c r="C17" s="1" t="s">
        <v>84</v>
      </c>
    </row>
    <row r="18" spans="2:3" x14ac:dyDescent="0.25">
      <c r="B18" s="23" t="s">
        <v>71</v>
      </c>
      <c r="C18" s="1" t="s">
        <v>84</v>
      </c>
    </row>
    <row r="19" spans="2:3" x14ac:dyDescent="0.25">
      <c r="B19" s="33" t="s">
        <v>72</v>
      </c>
      <c r="C19" s="1" t="s">
        <v>56</v>
      </c>
    </row>
    <row r="20" spans="2:3" x14ac:dyDescent="0.25">
      <c r="B20" s="23" t="s">
        <v>73</v>
      </c>
      <c r="C20" s="1" t="s">
        <v>55</v>
      </c>
    </row>
    <row r="21" spans="2:3" x14ac:dyDescent="0.25">
      <c r="B21" s="33" t="s">
        <v>74</v>
      </c>
      <c r="C21" s="1" t="s">
        <v>56</v>
      </c>
    </row>
    <row r="22" spans="2:3" x14ac:dyDescent="0.25">
      <c r="B22" s="23" t="s">
        <v>75</v>
      </c>
      <c r="C22" s="1" t="s">
        <v>55</v>
      </c>
    </row>
    <row r="23" spans="2:3" x14ac:dyDescent="0.25">
      <c r="B23" s="33" t="s">
        <v>76</v>
      </c>
      <c r="C23" s="1" t="s">
        <v>56</v>
      </c>
    </row>
    <row r="24" spans="2:3" x14ac:dyDescent="0.25">
      <c r="B24" s="23" t="s">
        <v>77</v>
      </c>
      <c r="C24" s="1" t="s">
        <v>84</v>
      </c>
    </row>
    <row r="25" spans="2:3" x14ac:dyDescent="0.25">
      <c r="B25" s="23" t="s">
        <v>78</v>
      </c>
      <c r="C25" s="1" t="s">
        <v>55</v>
      </c>
    </row>
    <row r="26" spans="2:3" x14ac:dyDescent="0.25">
      <c r="B26" s="23" t="s">
        <v>79</v>
      </c>
      <c r="C26" s="1" t="s">
        <v>55</v>
      </c>
    </row>
    <row r="27" spans="2:3" ht="15.75" thickBot="1" x14ac:dyDescent="0.3">
      <c r="B27" s="24" t="s">
        <v>83</v>
      </c>
      <c r="C27" s="2" t="s">
        <v>55</v>
      </c>
    </row>
  </sheetData>
  <autoFilter ref="B2:C27" xr:uid="{2F0DDB3C-2F68-472E-9821-6832D769BD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Ideas</vt:lpstr>
      <vt:lpstr>Hoja1</vt:lpstr>
      <vt:lpstr>Participantes</vt:lpstr>
    </vt:vector>
  </TitlesOfParts>
  <Company>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Emmanuel Hinojosa</dc:creator>
  <cp:lastModifiedBy>Luis A Castaneda</cp:lastModifiedBy>
  <dcterms:created xsi:type="dcterms:W3CDTF">2025-12-08T14:29:35Z</dcterms:created>
  <dcterms:modified xsi:type="dcterms:W3CDTF">2026-01-21T15:30:22Z</dcterms:modified>
</cp:coreProperties>
</file>